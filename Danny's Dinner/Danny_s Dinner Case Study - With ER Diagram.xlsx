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new\OneDrive\Documents\PGDA43\SQL\project sql\Project\"/>
    </mc:Choice>
  </mc:AlternateContent>
  <xr:revisionPtr revIDLastSave="0" documentId="13_ncr:1_{34AEDE6C-89BF-4975-AC3C-52FF0017FB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ny's Diner Case Stud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1" l="1"/>
  <c r="N8" i="1"/>
  <c r="N7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F7" i="1"/>
  <c r="F8" i="1"/>
  <c r="F9" i="1"/>
  <c r="F10" i="1"/>
  <c r="F11" i="1"/>
  <c r="F12" i="1"/>
  <c r="F13" i="1"/>
  <c r="E31" i="1" s="1"/>
  <c r="F14" i="1"/>
  <c r="F15" i="1"/>
  <c r="F16" i="1"/>
  <c r="F17" i="1"/>
  <c r="F18" i="1"/>
  <c r="F19" i="1"/>
  <c r="F20" i="1"/>
  <c r="F21" i="1"/>
  <c r="E30" i="1" l="1"/>
  <c r="E32" i="1"/>
  <c r="E55" i="1"/>
</calcChain>
</file>

<file path=xl/sharedStrings.xml><?xml version="1.0" encoding="utf-8"?>
<sst xmlns="http://schemas.openxmlformats.org/spreadsheetml/2006/main" count="113" uniqueCount="42">
  <si>
    <t>Sales</t>
  </si>
  <si>
    <t>Menu</t>
  </si>
  <si>
    <t>Danny's Diner Case Study</t>
  </si>
  <si>
    <t>https://8weeksqlchallenge.com/case-study-1/</t>
  </si>
  <si>
    <t>customer_id</t>
  </si>
  <si>
    <t>order_date</t>
  </si>
  <si>
    <t>product_id</t>
  </si>
  <si>
    <t>product_name</t>
  </si>
  <si>
    <t>price</t>
  </si>
  <si>
    <t>A</t>
  </si>
  <si>
    <t>sushi</t>
  </si>
  <si>
    <t>Questions</t>
  </si>
  <si>
    <t>curry</t>
  </si>
  <si>
    <t>ramen</t>
  </si>
  <si>
    <t>1. What is the total amount each customer spent at the restaurant?</t>
  </si>
  <si>
    <t>2. How many days has each customer visited the restaurant?</t>
  </si>
  <si>
    <t>3. What was the first item from the menu purchased by each customer?</t>
  </si>
  <si>
    <t>B</t>
  </si>
  <si>
    <t>4. What is the most purchased item on the menu and how many times was it purchased by all customers?</t>
  </si>
  <si>
    <t>Members</t>
  </si>
  <si>
    <t>5. Which item was the most popular for each customer?</t>
  </si>
  <si>
    <t>6. Which item was purchased first by the customer after they became a member?</t>
  </si>
  <si>
    <t>7. Which item was purchased just before the customer became a member?</t>
  </si>
  <si>
    <t>join_date</t>
  </si>
  <si>
    <t>8. What is the total items and amount spent for each member before they became a member?</t>
  </si>
  <si>
    <t>9. If each $1 spent equates to 10 points and sushi has a 2x points multiplier - how many points would each customer have?</t>
  </si>
  <si>
    <t>C</t>
  </si>
  <si>
    <t>10. In the first week after a customer joins the program (including their join date) they earn 2x points on all items, not just sushi - how many points do customer A and B have at the end of January?*/</t>
  </si>
  <si>
    <t>total_spent</t>
  </si>
  <si>
    <t>no of visits</t>
  </si>
  <si>
    <t>CUSTOMER_ID</t>
  </si>
  <si>
    <t>FIRST ITEM PURCHASED</t>
  </si>
  <si>
    <t>SUSHI</t>
  </si>
  <si>
    <t>CURRY</t>
  </si>
  <si>
    <t>RAMEN</t>
  </si>
  <si>
    <t>no_of_times</t>
  </si>
  <si>
    <t>most popular item</t>
  </si>
  <si>
    <t>item</t>
  </si>
  <si>
    <t>no_of_items</t>
  </si>
  <si>
    <t>total amount spent</t>
  </si>
  <si>
    <t>points</t>
  </si>
  <si>
    <t>total_points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</si>
</sst>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1"/>
    <xf numFmtId="0" fontId="1" fillId="4" borderId="2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14" fontId="0" fillId="0" borderId="0" xfId="0" applyNumberFormat="1"/>
    <xf numFmtId="0" fontId="0" fillId="0" borderId="5" xfId="0" applyBorder="1"/>
    <xf numFmtId="14" fontId="0" fillId="0" borderId="6" xfId="0" applyNumberFormat="1" applyBorder="1"/>
    <xf numFmtId="0" fontId="0" fillId="0" borderId="6" xfId="0" applyBorder="1"/>
    <xf numFmtId="0" fontId="0" fillId="0" borderId="7" xfId="0" applyBorder="1"/>
    <xf numFmtId="14" fontId="0" fillId="0" borderId="5" xfId="0" applyNumberFormat="1" applyBorder="1"/>
    <xf numFmtId="14" fontId="0" fillId="0" borderId="8" xfId="0" applyNumberFormat="1" applyBorder="1"/>
    <xf numFmtId="0" fontId="5" fillId="0" borderId="0" xfId="0" applyFont="1"/>
    <xf numFmtId="0" fontId="0" fillId="0" borderId="9" xfId="0" applyBorder="1"/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5" borderId="1" xfId="0" applyFill="1" applyBorder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3">
    <dxf>
      <numFmt numFmtId="0" formatCode="General"/>
    </dxf>
    <dxf>
      <numFmt numFmtId="0" formatCode="General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5</xdr:row>
      <xdr:rowOff>137160</xdr:rowOff>
    </xdr:from>
    <xdr:to>
      <xdr:col>9</xdr:col>
      <xdr:colOff>579120</xdr:colOff>
      <xdr:row>18</xdr:row>
      <xdr:rowOff>106680</xdr:rowOff>
    </xdr:to>
    <xdr:cxnSp macro="">
      <xdr:nvCxnSpPr>
        <xdr:cNvPr id="2" name="Connector: Elbow 1">
          <a:extLst>
            <a:ext uri="{FF2B5EF4-FFF2-40B4-BE49-F238E27FC236}">
              <a16:creationId xmlns:a16="http://schemas.microsoft.com/office/drawing/2014/main" id="{94E047C6-2C46-4ACE-9EB7-07E9C53CE165}"/>
            </a:ext>
          </a:extLst>
        </xdr:cNvPr>
        <xdr:cNvCxnSpPr/>
      </xdr:nvCxnSpPr>
      <xdr:spPr>
        <a:xfrm flipV="1">
          <a:off x="4029075" y="1089660"/>
          <a:ext cx="2941320" cy="2531745"/>
        </a:xfrm>
        <a:prstGeom prst="bentConnector3">
          <a:avLst/>
        </a:prstGeom>
        <a:ln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274320</xdr:colOff>
      <xdr:row>17</xdr:row>
      <xdr:rowOff>175260</xdr:rowOff>
    </xdr:from>
    <xdr:to>
      <xdr:col>9</xdr:col>
      <xdr:colOff>502920</xdr:colOff>
      <xdr:row>23</xdr:row>
      <xdr:rowOff>91440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4489676E-4007-46BF-B931-07E2E539E123}"/>
            </a:ext>
          </a:extLst>
        </xdr:cNvPr>
        <xdr:cNvCxnSpPr/>
      </xdr:nvCxnSpPr>
      <xdr:spPr>
        <a:xfrm flipV="1">
          <a:off x="1493520" y="3489960"/>
          <a:ext cx="5400675" cy="1078230"/>
        </a:xfrm>
        <a:prstGeom prst="bentConnector3">
          <a:avLst>
            <a:gd name="adj1" fmla="val 87300"/>
          </a:avLst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289560</xdr:colOff>
      <xdr:row>20</xdr:row>
      <xdr:rowOff>167640</xdr:rowOff>
    </xdr:from>
    <xdr:to>
      <xdr:col>2</xdr:col>
      <xdr:colOff>289560</xdr:colOff>
      <xdr:row>23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461797B-777F-415F-9814-665350AB3795}"/>
            </a:ext>
          </a:extLst>
        </xdr:cNvPr>
        <xdr:cNvCxnSpPr/>
      </xdr:nvCxnSpPr>
      <xdr:spPr>
        <a:xfrm>
          <a:off x="1508760" y="4072890"/>
          <a:ext cx="0" cy="49530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45720</xdr:colOff>
      <xdr:row>3</xdr:row>
      <xdr:rowOff>106680</xdr:rowOff>
    </xdr:from>
    <xdr:to>
      <xdr:col>22</xdr:col>
      <xdr:colOff>525780</xdr:colOff>
      <xdr:row>3</xdr:row>
      <xdr:rowOff>106680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4869D55-061C-409C-9B02-C53EB4C64DCC}"/>
            </a:ext>
          </a:extLst>
        </xdr:cNvPr>
        <xdr:cNvCxnSpPr/>
      </xdr:nvCxnSpPr>
      <xdr:spPr>
        <a:xfrm>
          <a:off x="14276070" y="678180"/>
          <a:ext cx="108966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275BE3-02EA-4375-8233-C9C8E1986849}" name="Table1" displayName="Table1" ref="C6:G21" totalsRowShown="0">
  <autoFilter ref="C6:G21" xr:uid="{12275BE3-02EA-4375-8233-C9C8E1986849}"/>
  <tableColumns count="5">
    <tableColumn id="1" xr3:uid="{40D7AB7B-00F7-4324-8404-68D607E1FE04}" name="customer_id"/>
    <tableColumn id="2" xr3:uid="{1154974C-E1F8-4FF8-81F2-412168D81604}" name="order_date" dataDxfId="2"/>
    <tableColumn id="3" xr3:uid="{0EE7BBD7-C3AB-400D-8300-C424FF8A275A}" name="product_id"/>
    <tableColumn id="4" xr3:uid="{896E119C-E41A-490C-822D-A8A9E54AB64A}" name="price" dataDxfId="1">
      <calculatedColumnFormula>VLOOKUP(Table1[[#This Row],[product_id]],$K$6:$M$9,3,FALSE)</calculatedColumnFormula>
    </tableColumn>
    <tableColumn id="5" xr3:uid="{A0E60518-FBA9-4C85-B250-93FF3A3EA15D}" name="product_name" dataDxfId="0">
      <calculatedColumnFormula>VLOOKUP(Table1[[#This Row],[product_id]],$K$6:$M$9,2,FALSE)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https://8weeksqlchallenge.com/case-study-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X98"/>
  <sheetViews>
    <sheetView tabSelected="1" topLeftCell="A79" workbookViewId="0">
      <selection activeCell="D98" sqref="D98:E98"/>
    </sheetView>
  </sheetViews>
  <sheetFormatPr defaultRowHeight="14.4" x14ac:dyDescent="0.3"/>
  <cols>
    <col min="3" max="3" width="14.33203125" bestFit="1" customWidth="1"/>
    <col min="4" max="4" width="13.88671875" customWidth="1"/>
    <col min="5" max="5" width="19.33203125" customWidth="1"/>
    <col min="6" max="6" width="15.77734375" customWidth="1"/>
    <col min="7" max="7" width="12.33203125" customWidth="1"/>
    <col min="11" max="11" width="12" bestFit="1" customWidth="1"/>
    <col min="12" max="12" width="14.109375" bestFit="1" customWidth="1"/>
    <col min="13" max="13" width="10.33203125" bestFit="1" customWidth="1"/>
  </cols>
  <sheetData>
    <row r="3" spans="3:24" x14ac:dyDescent="0.3">
      <c r="C3" s="14" t="s">
        <v>0</v>
      </c>
      <c r="D3" s="14"/>
      <c r="E3" s="14"/>
      <c r="K3" s="14" t="s">
        <v>1</v>
      </c>
      <c r="L3" s="14"/>
      <c r="M3" s="14"/>
      <c r="Q3" s="15" t="s">
        <v>2</v>
      </c>
      <c r="R3" s="15"/>
      <c r="S3" s="15"/>
      <c r="T3" s="15"/>
      <c r="U3" s="15"/>
    </row>
    <row r="4" spans="3:24" x14ac:dyDescent="0.3">
      <c r="C4" s="14"/>
      <c r="D4" s="14"/>
      <c r="E4" s="14"/>
      <c r="K4" s="14"/>
      <c r="L4" s="14"/>
      <c r="M4" s="14"/>
      <c r="Q4" s="15"/>
      <c r="R4" s="15"/>
      <c r="S4" s="15"/>
      <c r="T4" s="15"/>
      <c r="U4" s="15"/>
      <c r="X4" s="1" t="s">
        <v>3</v>
      </c>
    </row>
    <row r="5" spans="3:24" x14ac:dyDescent="0.3">
      <c r="Q5" s="15"/>
      <c r="R5" s="15"/>
      <c r="S5" s="15"/>
      <c r="T5" s="15"/>
      <c r="U5" s="15"/>
    </row>
    <row r="6" spans="3:24" x14ac:dyDescent="0.3">
      <c r="C6" t="s">
        <v>4</v>
      </c>
      <c r="D6" t="s">
        <v>5</v>
      </c>
      <c r="E6" t="s">
        <v>6</v>
      </c>
      <c r="F6" t="s">
        <v>8</v>
      </c>
      <c r="G6" t="s">
        <v>7</v>
      </c>
      <c r="K6" s="2" t="s">
        <v>6</v>
      </c>
      <c r="L6" s="3" t="s">
        <v>7</v>
      </c>
      <c r="M6" s="4" t="s">
        <v>8</v>
      </c>
      <c r="N6" s="4" t="s">
        <v>40</v>
      </c>
    </row>
    <row r="7" spans="3:24" x14ac:dyDescent="0.3">
      <c r="C7" t="s">
        <v>9</v>
      </c>
      <c r="D7" s="5">
        <v>44197</v>
      </c>
      <c r="E7">
        <v>1</v>
      </c>
      <c r="F7">
        <f>VLOOKUP(Table1[[#This Row],[product_id]],$K$6:$M$9,3,FALSE)</f>
        <v>10</v>
      </c>
      <c r="G7" t="str">
        <f>VLOOKUP(Table1[[#This Row],[product_id]],$K$6:$M$9,2,FALSE)</f>
        <v>sushi</v>
      </c>
      <c r="K7" s="6">
        <v>1</v>
      </c>
      <c r="L7" s="7" t="s">
        <v>10</v>
      </c>
      <c r="M7" s="8">
        <v>10</v>
      </c>
      <c r="N7" s="8">
        <f>M7*20</f>
        <v>200</v>
      </c>
      <c r="Q7" s="16" t="s">
        <v>11</v>
      </c>
      <c r="R7" s="16"/>
      <c r="S7" s="16"/>
    </row>
    <row r="8" spans="3:24" x14ac:dyDescent="0.3">
      <c r="C8" t="s">
        <v>9</v>
      </c>
      <c r="D8" s="5">
        <v>44197</v>
      </c>
      <c r="E8">
        <v>2</v>
      </c>
      <c r="F8">
        <f>VLOOKUP(Table1[[#This Row],[product_id]],$K$6:$M$9,3,FALSE)</f>
        <v>15</v>
      </c>
      <c r="G8" t="str">
        <f>VLOOKUP(Table1[[#This Row],[product_id]],$K$6:$M$9,2,FALSE)</f>
        <v>curry</v>
      </c>
      <c r="K8" s="9">
        <v>2</v>
      </c>
      <c r="L8" s="10" t="s">
        <v>12</v>
      </c>
      <c r="M8" s="8">
        <v>15</v>
      </c>
      <c r="N8" s="8">
        <f>M8*10</f>
        <v>150</v>
      </c>
      <c r="Q8" s="16"/>
      <c r="R8" s="16"/>
      <c r="S8" s="16"/>
    </row>
    <row r="9" spans="3:24" x14ac:dyDescent="0.3">
      <c r="C9" t="s">
        <v>9</v>
      </c>
      <c r="D9" s="5">
        <v>44203</v>
      </c>
      <c r="E9">
        <v>2</v>
      </c>
      <c r="F9">
        <f>VLOOKUP(Table1[[#This Row],[product_id]],$K$6:$M$9,3,FALSE)</f>
        <v>15</v>
      </c>
      <c r="G9" t="str">
        <f>VLOOKUP(Table1[[#This Row],[product_id]],$K$6:$M$9,2,FALSE)</f>
        <v>curry</v>
      </c>
      <c r="K9" s="6">
        <v>3</v>
      </c>
      <c r="L9" s="11" t="s">
        <v>13</v>
      </c>
      <c r="M9" s="6">
        <v>12</v>
      </c>
      <c r="N9" s="8">
        <f>M9*10</f>
        <v>120</v>
      </c>
    </row>
    <row r="10" spans="3:24" ht="15.6" x14ac:dyDescent="0.3">
      <c r="C10" t="s">
        <v>9</v>
      </c>
      <c r="D10" s="5">
        <v>44206</v>
      </c>
      <c r="E10">
        <v>3</v>
      </c>
      <c r="F10">
        <f>VLOOKUP(Table1[[#This Row],[product_id]],$K$6:$M$9,3,FALSE)</f>
        <v>12</v>
      </c>
      <c r="G10" t="str">
        <f>VLOOKUP(Table1[[#This Row],[product_id]],$K$6:$M$9,2,FALSE)</f>
        <v>ramen</v>
      </c>
      <c r="Q10" s="12" t="s">
        <v>14</v>
      </c>
      <c r="R10" s="12"/>
      <c r="S10" s="12"/>
      <c r="T10" s="12"/>
      <c r="U10" s="12"/>
      <c r="V10" s="12"/>
      <c r="W10" s="12"/>
    </row>
    <row r="11" spans="3:24" ht="15.6" x14ac:dyDescent="0.3">
      <c r="C11" t="s">
        <v>9</v>
      </c>
      <c r="D11" s="5">
        <v>44207</v>
      </c>
      <c r="E11">
        <v>3</v>
      </c>
      <c r="F11">
        <f>VLOOKUP(Table1[[#This Row],[product_id]],$K$6:$M$9,3,FALSE)</f>
        <v>12</v>
      </c>
      <c r="G11" t="str">
        <f>VLOOKUP(Table1[[#This Row],[product_id]],$K$6:$M$9,2,FALSE)</f>
        <v>ramen</v>
      </c>
      <c r="Q11" s="12" t="s">
        <v>15</v>
      </c>
      <c r="R11" s="12"/>
      <c r="S11" s="12"/>
      <c r="T11" s="12"/>
      <c r="U11" s="12"/>
      <c r="V11" s="12"/>
      <c r="W11" s="12"/>
    </row>
    <row r="12" spans="3:24" ht="15.6" x14ac:dyDescent="0.3">
      <c r="C12" t="s">
        <v>9</v>
      </c>
      <c r="D12" s="5">
        <v>44207</v>
      </c>
      <c r="E12">
        <v>3</v>
      </c>
      <c r="F12">
        <f>VLOOKUP(Table1[[#This Row],[product_id]],$K$6:$M$9,3,FALSE)</f>
        <v>12</v>
      </c>
      <c r="G12" t="str">
        <f>VLOOKUP(Table1[[#This Row],[product_id]],$K$6:$M$9,2,FALSE)</f>
        <v>ramen</v>
      </c>
      <c r="Q12" s="12" t="s">
        <v>16</v>
      </c>
      <c r="R12" s="12"/>
      <c r="S12" s="12"/>
      <c r="T12" s="12"/>
      <c r="U12" s="12"/>
      <c r="V12" s="12"/>
      <c r="W12" s="12"/>
    </row>
    <row r="13" spans="3:24" ht="15.6" x14ac:dyDescent="0.3">
      <c r="C13" t="s">
        <v>17</v>
      </c>
      <c r="D13" s="5">
        <v>44197</v>
      </c>
      <c r="E13">
        <v>2</v>
      </c>
      <c r="F13">
        <f>VLOOKUP(Table1[[#This Row],[product_id]],$K$6:$M$9,3,FALSE)</f>
        <v>15</v>
      </c>
      <c r="G13" t="str">
        <f>VLOOKUP(Table1[[#This Row],[product_id]],$K$6:$M$9,2,FALSE)</f>
        <v>curry</v>
      </c>
      <c r="Q13" s="12" t="s">
        <v>18</v>
      </c>
      <c r="R13" s="12"/>
      <c r="S13" s="12"/>
      <c r="T13" s="12"/>
      <c r="U13" s="12"/>
      <c r="V13" s="12"/>
      <c r="W13" s="12"/>
    </row>
    <row r="14" spans="3:24" ht="15.6" x14ac:dyDescent="0.3">
      <c r="C14" t="s">
        <v>17</v>
      </c>
      <c r="D14" s="5">
        <v>44198</v>
      </c>
      <c r="E14">
        <v>2</v>
      </c>
      <c r="F14">
        <f>VLOOKUP(Table1[[#This Row],[product_id]],$K$6:$M$9,3,FALSE)</f>
        <v>15</v>
      </c>
      <c r="G14" t="str">
        <f>VLOOKUP(Table1[[#This Row],[product_id]],$K$6:$M$9,2,FALSE)</f>
        <v>curry</v>
      </c>
      <c r="K14" s="14" t="s">
        <v>19</v>
      </c>
      <c r="L14" s="14"/>
      <c r="M14" s="14"/>
      <c r="Q14" s="12" t="s">
        <v>20</v>
      </c>
      <c r="R14" s="12"/>
      <c r="S14" s="12"/>
      <c r="T14" s="12"/>
      <c r="U14" s="12"/>
      <c r="V14" s="12"/>
      <c r="W14" s="12"/>
    </row>
    <row r="15" spans="3:24" ht="15.6" x14ac:dyDescent="0.3">
      <c r="C15" t="s">
        <v>17</v>
      </c>
      <c r="D15" s="5">
        <v>44200</v>
      </c>
      <c r="E15">
        <v>1</v>
      </c>
      <c r="F15">
        <f>VLOOKUP(Table1[[#This Row],[product_id]],$K$6:$M$9,3,FALSE)</f>
        <v>10</v>
      </c>
      <c r="G15" t="str">
        <f>VLOOKUP(Table1[[#This Row],[product_id]],$K$6:$M$9,2,FALSE)</f>
        <v>sushi</v>
      </c>
      <c r="K15" s="14"/>
      <c r="L15" s="14"/>
      <c r="M15" s="14"/>
      <c r="Q15" s="12" t="s">
        <v>21</v>
      </c>
      <c r="R15" s="12"/>
      <c r="S15" s="12"/>
      <c r="T15" s="12"/>
      <c r="U15" s="12"/>
      <c r="V15" s="12"/>
      <c r="W15" s="12"/>
    </row>
    <row r="16" spans="3:24" ht="15.6" x14ac:dyDescent="0.3">
      <c r="C16" t="s">
        <v>17</v>
      </c>
      <c r="D16" s="5">
        <v>44207</v>
      </c>
      <c r="E16">
        <v>1</v>
      </c>
      <c r="F16">
        <f>VLOOKUP(Table1[[#This Row],[product_id]],$K$6:$M$9,3,FALSE)</f>
        <v>10</v>
      </c>
      <c r="G16" t="str">
        <f>VLOOKUP(Table1[[#This Row],[product_id]],$K$6:$M$9,2,FALSE)</f>
        <v>sushi</v>
      </c>
      <c r="Q16" s="12" t="s">
        <v>22</v>
      </c>
      <c r="R16" s="12"/>
      <c r="S16" s="12"/>
      <c r="T16" s="12"/>
      <c r="U16" s="12"/>
      <c r="V16" s="12"/>
      <c r="W16" s="12"/>
    </row>
    <row r="17" spans="3:22" ht="15.6" x14ac:dyDescent="0.3">
      <c r="C17" t="s">
        <v>17</v>
      </c>
      <c r="D17" s="5">
        <v>44212</v>
      </c>
      <c r="E17">
        <v>3</v>
      </c>
      <c r="F17">
        <f>VLOOKUP(Table1[[#This Row],[product_id]],$K$6:$M$9,3,FALSE)</f>
        <v>12</v>
      </c>
      <c r="G17" t="str">
        <f>VLOOKUP(Table1[[#This Row],[product_id]],$K$6:$M$9,2,FALSE)</f>
        <v>ramen</v>
      </c>
      <c r="K17" s="2" t="s">
        <v>4</v>
      </c>
      <c r="L17" s="3" t="s">
        <v>23</v>
      </c>
      <c r="P17" s="12" t="s">
        <v>24</v>
      </c>
      <c r="Q17" s="12"/>
      <c r="R17" s="12"/>
      <c r="S17" s="12"/>
      <c r="T17" s="12"/>
      <c r="U17" s="12"/>
      <c r="V17" s="12"/>
    </row>
    <row r="18" spans="3:22" ht="15.6" x14ac:dyDescent="0.3">
      <c r="C18" t="s">
        <v>17</v>
      </c>
      <c r="D18" s="5">
        <v>44228</v>
      </c>
      <c r="E18">
        <v>3</v>
      </c>
      <c r="F18">
        <f>VLOOKUP(Table1[[#This Row],[product_id]],$K$6:$M$9,3,FALSE)</f>
        <v>12</v>
      </c>
      <c r="G18" t="str">
        <f>VLOOKUP(Table1[[#This Row],[product_id]],$K$6:$M$9,2,FALSE)</f>
        <v>ramen</v>
      </c>
      <c r="K18" s="13" t="s">
        <v>9</v>
      </c>
      <c r="L18" s="7">
        <v>44203</v>
      </c>
      <c r="P18" s="12" t="s">
        <v>25</v>
      </c>
      <c r="Q18" s="12"/>
      <c r="R18" s="12"/>
      <c r="S18" s="12"/>
      <c r="T18" s="12"/>
      <c r="U18" s="12"/>
      <c r="V18" s="12"/>
    </row>
    <row r="19" spans="3:22" ht="15.6" x14ac:dyDescent="0.3">
      <c r="C19" t="s">
        <v>26</v>
      </c>
      <c r="D19" s="5">
        <v>44197</v>
      </c>
      <c r="E19">
        <v>3</v>
      </c>
      <c r="F19">
        <f>VLOOKUP(Table1[[#This Row],[product_id]],$K$6:$M$9,3,FALSE)</f>
        <v>12</v>
      </c>
      <c r="G19" t="str">
        <f>VLOOKUP(Table1[[#This Row],[product_id]],$K$6:$M$9,2,FALSE)</f>
        <v>ramen</v>
      </c>
      <c r="K19" s="6" t="s">
        <v>17</v>
      </c>
      <c r="L19" s="7">
        <v>44205</v>
      </c>
      <c r="P19" s="12" t="s">
        <v>27</v>
      </c>
      <c r="Q19" s="12"/>
      <c r="R19" s="12"/>
      <c r="S19" s="12"/>
      <c r="T19" s="12"/>
      <c r="U19" s="12"/>
      <c r="V19" s="12"/>
    </row>
    <row r="20" spans="3:22" x14ac:dyDescent="0.3">
      <c r="C20" t="s">
        <v>26</v>
      </c>
      <c r="D20" s="5">
        <v>44197</v>
      </c>
      <c r="E20">
        <v>3</v>
      </c>
      <c r="F20">
        <f>VLOOKUP(Table1[[#This Row],[product_id]],$K$6:$M$9,3,FALSE)</f>
        <v>12</v>
      </c>
      <c r="G20" t="str">
        <f>VLOOKUP(Table1[[#This Row],[product_id]],$K$6:$M$9,2,FALSE)</f>
        <v>ramen</v>
      </c>
    </row>
    <row r="21" spans="3:22" x14ac:dyDescent="0.3">
      <c r="C21" t="s">
        <v>26</v>
      </c>
      <c r="D21" s="5">
        <v>44203</v>
      </c>
      <c r="E21">
        <v>3</v>
      </c>
      <c r="F21">
        <f>VLOOKUP(Table1[[#This Row],[product_id]],$K$6:$M$9,3,FALSE)</f>
        <v>12</v>
      </c>
      <c r="G21" t="str">
        <f>VLOOKUP(Table1[[#This Row],[product_id]],$K$6:$M$9,2,FALSE)</f>
        <v>ramen</v>
      </c>
    </row>
    <row r="27" spans="3:22" ht="15.6" x14ac:dyDescent="0.3">
      <c r="C27" s="19" t="s">
        <v>14</v>
      </c>
      <c r="D27" s="19"/>
      <c r="E27" s="19"/>
      <c r="F27" s="19"/>
      <c r="G27" s="19"/>
      <c r="H27" s="19"/>
      <c r="I27" s="12"/>
    </row>
    <row r="29" spans="3:22" x14ac:dyDescent="0.3">
      <c r="D29" s="17" t="s">
        <v>4</v>
      </c>
      <c r="E29" s="17" t="s">
        <v>28</v>
      </c>
    </row>
    <row r="30" spans="3:22" x14ac:dyDescent="0.3">
      <c r="D30" s="18" t="s">
        <v>9</v>
      </c>
      <c r="E30" s="18">
        <f ca="1">SUMIF(Table1[[#All],[customer_id]],D30,$F$6:$F$20)</f>
        <v>76</v>
      </c>
    </row>
    <row r="31" spans="3:22" x14ac:dyDescent="0.3">
      <c r="D31" s="18" t="s">
        <v>17</v>
      </c>
      <c r="E31" s="18">
        <f ca="1">SUMIF(Table1[[#All],[customer_id]],D31,$F$6:$F$20)</f>
        <v>74</v>
      </c>
    </row>
    <row r="32" spans="3:22" x14ac:dyDescent="0.3">
      <c r="D32" s="18" t="s">
        <v>26</v>
      </c>
      <c r="E32" s="18">
        <f ca="1">SUMIF(Table1[[#All],[customer_id]],D32,$F$6:$F$20)</f>
        <v>36</v>
      </c>
    </row>
    <row r="36" spans="3:9" x14ac:dyDescent="0.3">
      <c r="C36" s="20" t="s">
        <v>15</v>
      </c>
      <c r="D36" s="20"/>
      <c r="E36" s="20"/>
      <c r="F36" s="20"/>
    </row>
    <row r="38" spans="3:9" x14ac:dyDescent="0.3">
      <c r="D38" s="17" t="s">
        <v>4</v>
      </c>
      <c r="E38" s="17" t="s">
        <v>29</v>
      </c>
    </row>
    <row r="39" spans="3:9" x14ac:dyDescent="0.3">
      <c r="D39" s="18" t="s">
        <v>9</v>
      </c>
      <c r="E39" s="18">
        <v>4</v>
      </c>
    </row>
    <row r="40" spans="3:9" x14ac:dyDescent="0.3">
      <c r="D40" s="18" t="s">
        <v>17</v>
      </c>
      <c r="E40" s="18">
        <v>6</v>
      </c>
    </row>
    <row r="41" spans="3:9" x14ac:dyDescent="0.3">
      <c r="D41" s="18" t="s">
        <v>26</v>
      </c>
      <c r="E41" s="18">
        <v>2</v>
      </c>
    </row>
    <row r="44" spans="3:9" x14ac:dyDescent="0.3">
      <c r="D44" s="20" t="s">
        <v>16</v>
      </c>
      <c r="E44" s="20"/>
      <c r="F44" s="20"/>
      <c r="G44" s="20"/>
      <c r="H44" s="20"/>
      <c r="I44" s="20"/>
    </row>
    <row r="46" spans="3:9" x14ac:dyDescent="0.3">
      <c r="D46" s="17" t="s">
        <v>30</v>
      </c>
      <c r="E46" s="17" t="s">
        <v>31</v>
      </c>
    </row>
    <row r="47" spans="3:9" x14ac:dyDescent="0.3">
      <c r="D47" s="18" t="s">
        <v>9</v>
      </c>
      <c r="E47" s="18" t="s">
        <v>32</v>
      </c>
    </row>
    <row r="48" spans="3:9" x14ac:dyDescent="0.3">
      <c r="D48" s="18" t="s">
        <v>17</v>
      </c>
      <c r="E48" s="18" t="s">
        <v>33</v>
      </c>
    </row>
    <row r="49" spans="4:11" x14ac:dyDescent="0.3">
      <c r="D49" s="18" t="s">
        <v>26</v>
      </c>
      <c r="E49" s="18" t="s">
        <v>34</v>
      </c>
    </row>
    <row r="52" spans="4:11" x14ac:dyDescent="0.3">
      <c r="D52" s="20" t="s">
        <v>18</v>
      </c>
      <c r="E52" s="20"/>
      <c r="F52" s="20"/>
      <c r="G52" s="20"/>
      <c r="H52" s="20"/>
      <c r="I52" s="20"/>
      <c r="J52" s="20"/>
      <c r="K52" s="20"/>
    </row>
    <row r="54" spans="4:11" x14ac:dyDescent="0.3">
      <c r="D54" s="17" t="s">
        <v>7</v>
      </c>
      <c r="E54" s="17" t="s">
        <v>35</v>
      </c>
    </row>
    <row r="55" spans="4:11" x14ac:dyDescent="0.3">
      <c r="D55" s="18" t="s">
        <v>13</v>
      </c>
      <c r="E55" s="18">
        <f>COUNTIF(Table1[#All],D55)</f>
        <v>8</v>
      </c>
    </row>
    <row r="58" spans="4:11" x14ac:dyDescent="0.3">
      <c r="D58" s="20" t="s">
        <v>20</v>
      </c>
      <c r="E58" s="20"/>
      <c r="F58" s="20"/>
      <c r="G58" s="20"/>
    </row>
    <row r="61" spans="4:11" x14ac:dyDescent="0.3">
      <c r="D61" s="17" t="s">
        <v>4</v>
      </c>
      <c r="E61" s="17" t="s">
        <v>36</v>
      </c>
    </row>
    <row r="62" spans="4:11" x14ac:dyDescent="0.3">
      <c r="D62" s="18" t="s">
        <v>9</v>
      </c>
      <c r="E62" s="18" t="s">
        <v>34</v>
      </c>
    </row>
    <row r="63" spans="4:11" x14ac:dyDescent="0.3">
      <c r="D63" s="18" t="s">
        <v>17</v>
      </c>
      <c r="E63" s="18" t="s">
        <v>33</v>
      </c>
    </row>
    <row r="64" spans="4:11" x14ac:dyDescent="0.3">
      <c r="D64" s="18" t="s">
        <v>17</v>
      </c>
      <c r="E64" s="18" t="s">
        <v>32</v>
      </c>
    </row>
    <row r="65" spans="4:9" x14ac:dyDescent="0.3">
      <c r="D65" s="18" t="s">
        <v>17</v>
      </c>
      <c r="E65" s="18" t="s">
        <v>34</v>
      </c>
    </row>
    <row r="66" spans="4:9" x14ac:dyDescent="0.3">
      <c r="D66" s="18" t="s">
        <v>26</v>
      </c>
      <c r="E66" s="18" t="s">
        <v>34</v>
      </c>
    </row>
    <row r="69" spans="4:9" x14ac:dyDescent="0.3">
      <c r="D69" s="20" t="s">
        <v>21</v>
      </c>
      <c r="E69" s="20"/>
      <c r="F69" s="20"/>
      <c r="G69" s="20"/>
      <c r="H69" s="20"/>
      <c r="I69" s="20"/>
    </row>
    <row r="72" spans="4:9" x14ac:dyDescent="0.3">
      <c r="D72" s="17" t="s">
        <v>4</v>
      </c>
      <c r="E72" s="17" t="s">
        <v>37</v>
      </c>
    </row>
    <row r="73" spans="4:9" x14ac:dyDescent="0.3">
      <c r="D73" s="18" t="s">
        <v>9</v>
      </c>
      <c r="E73" s="18" t="s">
        <v>13</v>
      </c>
    </row>
    <row r="74" spans="4:9" x14ac:dyDescent="0.3">
      <c r="D74" s="18" t="s">
        <v>17</v>
      </c>
      <c r="E74" s="18" t="s">
        <v>10</v>
      </c>
    </row>
    <row r="77" spans="4:9" x14ac:dyDescent="0.3">
      <c r="D77" s="20" t="s">
        <v>22</v>
      </c>
      <c r="E77" s="20"/>
      <c r="F77" s="20"/>
      <c r="G77" s="20"/>
      <c r="H77" s="20"/>
    </row>
    <row r="79" spans="4:9" x14ac:dyDescent="0.3">
      <c r="D79" s="17" t="s">
        <v>4</v>
      </c>
      <c r="E79" s="17" t="s">
        <v>37</v>
      </c>
    </row>
    <row r="80" spans="4:9" x14ac:dyDescent="0.3">
      <c r="D80" s="18" t="s">
        <v>9</v>
      </c>
      <c r="E80" s="18" t="s">
        <v>12</v>
      </c>
    </row>
    <row r="81" spans="4:11" x14ac:dyDescent="0.3">
      <c r="D81" s="18" t="s">
        <v>9</v>
      </c>
      <c r="E81" s="18" t="s">
        <v>10</v>
      </c>
    </row>
    <row r="82" spans="4:11" x14ac:dyDescent="0.3">
      <c r="D82" s="18" t="s">
        <v>17</v>
      </c>
      <c r="E82" s="18" t="s">
        <v>10</v>
      </c>
    </row>
    <row r="85" spans="4:11" x14ac:dyDescent="0.3">
      <c r="D85" s="20" t="s">
        <v>24</v>
      </c>
      <c r="E85" s="20"/>
      <c r="F85" s="20"/>
      <c r="G85" s="20"/>
      <c r="H85" s="20"/>
      <c r="I85" s="20"/>
      <c r="J85" s="20"/>
    </row>
    <row r="87" spans="4:11" x14ac:dyDescent="0.3">
      <c r="D87" s="17" t="s">
        <v>4</v>
      </c>
      <c r="E87" s="17" t="s">
        <v>38</v>
      </c>
      <c r="F87" s="17" t="s">
        <v>39</v>
      </c>
    </row>
    <row r="88" spans="4:11" x14ac:dyDescent="0.3">
      <c r="D88" s="18" t="s">
        <v>9</v>
      </c>
      <c r="E88" s="18">
        <v>2</v>
      </c>
      <c r="F88" s="18">
        <v>25</v>
      </c>
    </row>
    <row r="89" spans="4:11" x14ac:dyDescent="0.3">
      <c r="D89" s="18" t="s">
        <v>17</v>
      </c>
      <c r="E89" s="18">
        <v>3</v>
      </c>
      <c r="F89" s="18">
        <v>40</v>
      </c>
    </row>
    <row r="92" spans="4:11" x14ac:dyDescent="0.3">
      <c r="D92" s="20" t="s">
        <v>25</v>
      </c>
      <c r="E92" s="20"/>
      <c r="F92" s="20"/>
      <c r="G92" s="20"/>
      <c r="H92" s="20"/>
      <c r="I92" s="20"/>
      <c r="J92" s="20"/>
      <c r="K92" s="20"/>
    </row>
    <row r="95" spans="4:11" x14ac:dyDescent="0.3">
      <c r="D95" s="17" t="s">
        <v>4</v>
      </c>
      <c r="E95" s="17" t="s">
        <v>41</v>
      </c>
    </row>
    <row r="96" spans="4:11" x14ac:dyDescent="0.3">
      <c r="D96" s="18" t="s">
        <v>9</v>
      </c>
      <c r="E96" s="18">
        <v>860</v>
      </c>
    </row>
    <row r="97" spans="4:5" x14ac:dyDescent="0.3">
      <c r="D97" s="18" t="s">
        <v>17</v>
      </c>
      <c r="E97" s="18">
        <v>940</v>
      </c>
    </row>
    <row r="98" spans="4:5" x14ac:dyDescent="0.3">
      <c r="D98" s="18" t="s">
        <v>26</v>
      </c>
      <c r="E98" s="18">
        <v>360</v>
      </c>
    </row>
  </sheetData>
  <mergeCells count="14">
    <mergeCell ref="D69:I69"/>
    <mergeCell ref="D77:H77"/>
    <mergeCell ref="D85:J85"/>
    <mergeCell ref="D92:K92"/>
    <mergeCell ref="C27:H27"/>
    <mergeCell ref="C36:F36"/>
    <mergeCell ref="D44:I44"/>
    <mergeCell ref="D52:K52"/>
    <mergeCell ref="D58:G58"/>
    <mergeCell ref="C3:E4"/>
    <mergeCell ref="K3:M4"/>
    <mergeCell ref="Q3:U5"/>
    <mergeCell ref="Q7:S8"/>
    <mergeCell ref="K14:M15"/>
  </mergeCells>
  <hyperlinks>
    <hyperlink ref="X4" r:id="rId1" xr:uid="{CDB6B5D4-F409-4680-B4F2-1B8546EAE31E}"/>
  </hyperlink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Danny's Diner Case 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Raj</dc:creator>
  <cp:lastModifiedBy>Lidwin Mercy</cp:lastModifiedBy>
  <dcterms:created xsi:type="dcterms:W3CDTF">2015-06-05T18:17:20Z</dcterms:created>
  <dcterms:modified xsi:type="dcterms:W3CDTF">2025-07-03T07:44:11Z</dcterms:modified>
</cp:coreProperties>
</file>